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usar" sheetId="1" state="visible" r:id="rId1"/>
    <sheet xmlns:r="http://schemas.openxmlformats.org/officeDocument/2006/relationships" name="Descuento" sheetId="2" state="visible" r:id="rId2"/>
    <sheet xmlns:r="http://schemas.openxmlformats.org/officeDocument/2006/relationships" name="2x1 y 3x2" sheetId="3" state="visible" r:id="rId3"/>
    <sheet xmlns:r="http://schemas.openxmlformats.org/officeDocument/2006/relationships" name="Envío grat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;[Red]-&quot;$&quot;#,##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D5C52"/>
      <sz val="16"/>
    </font>
    <font>
      <sz val="11"/>
    </font>
    <font>
      <b val="1"/>
      <color rgb="000D5C52"/>
    </font>
    <font>
      <b val="1"/>
      <color rgb="00C2441F"/>
    </font>
    <font>
      <color rgb="004A5754"/>
      <sz val="10"/>
    </font>
    <font>
      <b val="1"/>
      <color rgb="00FFFFFF"/>
    </font>
    <font>
      <b val="1"/>
      <color rgb="0016201E"/>
    </font>
    <font>
      <color rgb="007C8885"/>
      <sz val="9"/>
    </font>
    <font>
      <color rgb="0016201E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0D5C52"/>
      </patternFill>
    </fill>
    <fill>
      <patternFill patternType="solid">
        <fgColor rgb="00FEF6DD"/>
      </patternFill>
    </fill>
    <fill>
      <patternFill patternType="solid">
        <fgColor rgb="00E3F1EE"/>
      </patternFill>
    </fill>
  </fills>
  <borders count="2">
    <border>
      <left/>
      <right/>
      <top/>
      <bottom/>
      <diagonal/>
    </border>
    <border>
      <left style="thin">
        <color rgb="00D9D4CA"/>
      </left>
      <right style="thin">
        <color rgb="00D9D4CA"/>
      </right>
      <top style="thin">
        <color rgb="00D9D4CA"/>
      </top>
      <bottom style="thin">
        <color rgb="00D9D4C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center" wrapText="1"/>
    </xf>
    <xf numFmtId="164" fontId="7" fillId="3" borderId="1" applyAlignment="1" pivotButton="0" quotePrefix="0" xfId="0">
      <alignment horizontal="right" vertical="center"/>
    </xf>
    <xf numFmtId="0" fontId="8" fillId="0" borderId="0" applyAlignment="1" pivotButton="0" quotePrefix="0" xfId="0">
      <alignment vertical="center" wrapText="1"/>
    </xf>
    <xf numFmtId="165" fontId="7" fillId="3" borderId="1" applyAlignment="1" pivotButton="0" quotePrefix="0" xfId="0">
      <alignment horizontal="right" vertical="center"/>
    </xf>
    <xf numFmtId="1" fontId="7" fillId="3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0" fontId="10" fillId="0" borderId="0" applyAlignment="1" pivotButton="0" quotePrefix="0" xfId="0">
      <alignment vertical="center" wrapText="1"/>
    </xf>
    <xf numFmtId="164" fontId="3" fillId="4" borderId="1" applyAlignment="1" pivotButton="0" quotePrefix="0" xfId="0">
      <alignment horizontal="right" vertical="center"/>
    </xf>
    <xf numFmtId="1" fontId="3" fillId="4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0" fontId="1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Calculadora de Promos Rentables · Vendé Más con IA</t>
        </is>
      </c>
    </row>
    <row r="2">
      <c r="A2" s="2" t="inlineStr">
        <is>
          <t>Antes de publicar un descuento, un 2x1 o un envío gratis, fijate acá cuánto te queda por venta.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Elegí la pestaña de abajo según tu promo: Descuento, 2x1 y 3x2, o Envío gratis.</t>
        </is>
      </c>
    </row>
    <row r="6">
      <c r="A6" s="3" t="inlineStr">
        <is>
          <t>2. Cambiá SOLO las celdas AMARILLAS por tus números. Los ejemplos que ya están son de un negocio simulado.</t>
        </is>
      </c>
    </row>
    <row r="7">
      <c r="A7" s="3" t="inlineStr">
        <is>
          <t>3. Las celdas VERDES se calculan solas. No las borres.</t>
        </is>
      </c>
    </row>
    <row r="8">
      <c r="A8" s="3" t="inlineStr">
        <is>
          <t>4. Leé el veredicto del final: te dice si la promo te deja ganancia y cuántas ventas más necesitás.</t>
        </is>
      </c>
    </row>
    <row r="9">
      <c r="A9" s="3" t="inlineStr"/>
    </row>
    <row r="10">
      <c r="A10" s="4" t="inlineStr">
        <is>
          <t>DE DÓNDE SACO CADA NÚMERO</t>
        </is>
      </c>
    </row>
    <row r="11">
      <c r="A11" s="3" t="inlineStr">
        <is>
          <t>• Costo del producto: lo que te cuesta hacerlo o comprarlo (materiales, mercadería), por unidad.</t>
        </is>
      </c>
    </row>
    <row r="12">
      <c r="A12" s="3" t="inlineStr">
        <is>
          <t>• Otros gastos por venta: packaging, etiqueta, bolsa, y el envío si lo pagás vos.</t>
        </is>
      </c>
    </row>
    <row r="13">
      <c r="A13" s="3" t="inlineStr">
        <is>
          <t>• Comisión de cobro: el % que te descuenta tu medio de cobro. Buscalo en tu cuenta (por ejemplo, en Mercado Pago:</t>
        </is>
      </c>
    </row>
    <row r="14">
      <c r="A14" s="3" t="inlineStr">
        <is>
          <t xml:space="preserve">  'Costos' o el detalle de una venta). Si cobrás en efectivo o por transferencia sin comisión, poné 0 %.</t>
        </is>
      </c>
    </row>
    <row r="15">
      <c r="A15" s="3" t="inlineStr">
        <is>
          <t>• Ventas que hacés hoy: cuántas unidades de ese producto vendés en un período normal (una semana o un mes).</t>
        </is>
      </c>
    </row>
    <row r="16">
      <c r="A16" s="3" t="inlineStr"/>
    </row>
    <row r="17">
      <c r="A17" s="5" t="inlineStr">
        <is>
          <t>IMPORTANTE</t>
        </is>
      </c>
    </row>
    <row r="18">
      <c r="A18" s="3" t="inlineStr">
        <is>
          <t>Esta calculadora no incluye impuestos (monotributo, ingresos brutos) ni gastos fijos (alquiler, luz, publicidad).</t>
        </is>
      </c>
    </row>
    <row r="19">
      <c r="A19" s="3" t="inlineStr">
        <is>
          <t>Si los querés considerar, sumá una parte en 'Otros gastos por venta'. Es una herramienta de ayuda: la decisión es tuya.</t>
        </is>
      </c>
    </row>
    <row r="20">
      <c r="A20" s="3" t="inlineStr">
        <is>
          <t>Para abrirla en el celular: subila a Google Drive y abrila con Google Sheets, o usá la app de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44" customWidth="1" min="3" max="3"/>
  </cols>
  <sheetData>
    <row r="1">
      <c r="A1" s="6" t="inlineStr">
        <is>
          <t>Promo con descuento (%)</t>
        </is>
      </c>
    </row>
    <row r="2" ht="44" customHeight="1">
      <c r="A2" s="7" t="inlineStr">
        <is>
          <t>Ejemplo con un negocio simulado. Cambiá las celdas amarillas por tus números.</t>
        </is>
      </c>
    </row>
    <row r="4" ht="22" customHeight="1">
      <c r="A4" s="8" t="inlineStr">
        <is>
          <t>TUS NÚMEROS</t>
        </is>
      </c>
      <c r="B4" s="9" t="n"/>
      <c r="C4" s="9" t="n"/>
    </row>
    <row r="5" ht="30" customHeight="1">
      <c r="A5" s="10" t="inlineStr">
        <is>
          <t>Precio normal del producto</t>
        </is>
      </c>
      <c r="B5" s="11" t="n">
        <v>15900</v>
      </c>
      <c r="C5" s="12" t="inlineStr">
        <is>
          <t>Lo que cobrás hoy, sin promo.</t>
        </is>
      </c>
    </row>
    <row r="6" ht="30" customHeight="1">
      <c r="A6" s="10" t="inlineStr">
        <is>
          <t>Costo del producto (por unidad)</t>
        </is>
      </c>
      <c r="B6" s="11" t="n">
        <v>5200</v>
      </c>
      <c r="C6" s="12" t="inlineStr">
        <is>
          <t>Materiales o mercadería.</t>
        </is>
      </c>
    </row>
    <row r="7" ht="30" customHeight="1">
      <c r="A7" s="10" t="inlineStr">
        <is>
          <t>Otros gastos por venta</t>
        </is>
      </c>
      <c r="B7" s="11" t="n">
        <v>600</v>
      </c>
      <c r="C7" s="12" t="inlineStr">
        <is>
          <t>Packaging, bolsa, envío si lo pagás vos.</t>
        </is>
      </c>
    </row>
    <row r="8" ht="30" customHeight="1">
      <c r="A8" s="10" t="inlineStr">
        <is>
          <t>Comisión de tu medio de cobro</t>
        </is>
      </c>
      <c r="B8" s="13" t="n">
        <v>0.0761</v>
      </c>
      <c r="C8" s="12" t="inlineStr">
        <is>
          <t>Buscala en tu cuenta. Efectivo o transferencia sin comisión: 0 %.</t>
        </is>
      </c>
    </row>
    <row r="9" ht="30" customHeight="1">
      <c r="A9" s="10" t="inlineStr">
        <is>
          <t>Descuento que querés hacer</t>
        </is>
      </c>
      <c r="B9" s="13" t="n">
        <v>0.15</v>
      </c>
      <c r="C9" s="12" t="inlineStr">
        <is>
          <t>Ej.: 15 % = 0,15</t>
        </is>
      </c>
    </row>
    <row r="10" ht="30" customHeight="1">
      <c r="A10" s="10" t="inlineStr">
        <is>
          <t>Ventas que hacés hoy en un período</t>
        </is>
      </c>
      <c r="B10" s="14" t="n">
        <v>20</v>
      </c>
      <c r="C10" s="12" t="inlineStr">
        <is>
          <t>Por semana o por mes, de este producto.</t>
        </is>
      </c>
    </row>
    <row r="12" ht="22" customHeight="1">
      <c r="A12" s="8" t="inlineStr">
        <is>
          <t>RESULTADOS</t>
        </is>
      </c>
      <c r="B12" s="9" t="n"/>
      <c r="C12" s="9" t="n"/>
    </row>
    <row r="13" ht="30" customHeight="1">
      <c r="A13" s="10" t="inlineStr">
        <is>
          <t>Ganancia por venta SIN promo</t>
        </is>
      </c>
      <c r="B13" s="15">
        <f>B5*(1-B8)-B6-B7</f>
        <v/>
      </c>
    </row>
    <row r="14" ht="30" customHeight="1">
      <c r="A14" s="10" t="inlineStr">
        <is>
          <t>Precio con la promo</t>
        </is>
      </c>
      <c r="B14" s="15">
        <f>B5*(1-B9)</f>
        <v/>
      </c>
    </row>
    <row r="15" ht="30" customHeight="1">
      <c r="A15" s="16" t="inlineStr">
        <is>
          <t>Ganancia por venta CON promo</t>
        </is>
      </c>
      <c r="B15" s="17">
        <f>B14*(1-B8)-B6-B7</f>
        <v/>
      </c>
    </row>
    <row r="16" ht="30" customHeight="1">
      <c r="A16" s="10" t="inlineStr">
        <is>
          <t>Cuánto ganás menos por cada venta</t>
        </is>
      </c>
      <c r="B16" s="15">
        <f>B13-B15</f>
        <v/>
      </c>
    </row>
    <row r="17" ht="30" customHeight="1">
      <c r="A17" s="16" t="inlineStr">
        <is>
          <t>Ventas necesarias con promo para ganar lo mismo que hoy</t>
        </is>
      </c>
      <c r="B17" s="18">
        <f>IF(B15&lt;=0,"No se puede: perdés plata",ROUNDUP(B10*B13/B15,0))</f>
        <v/>
      </c>
      <c r="C17" s="12" t="inlineStr">
        <is>
          <t>Si hoy vendés lo de B10 sin promo, con la promo necesitás esta cantidad para terminar con la misma ganancia.</t>
        </is>
      </c>
    </row>
    <row r="18" ht="30" customHeight="1">
      <c r="A18" s="10" t="inlineStr">
        <is>
          <t>Descuento máximo antes de perder plata</t>
        </is>
      </c>
      <c r="B18" s="19">
        <f>1-(B6+B7)/(B5*(1-B8))</f>
        <v/>
      </c>
      <c r="C18" s="12" t="inlineStr">
        <is>
          <t>Con este descuento no ganás ni perdés. No conviene acercarse.</t>
        </is>
      </c>
    </row>
    <row r="20" ht="22" customHeight="1">
      <c r="A20" s="8" t="inlineStr">
        <is>
          <t>VEREDICTO</t>
        </is>
      </c>
      <c r="B20" s="9" t="n"/>
      <c r="C20" s="9" t="n"/>
    </row>
    <row r="21" ht="40" customHeight="1">
      <c r="A21" s="20">
        <f>IF(B15&lt;=0,"❌ Con este descuento PERDÉS plata en cada venta. Bajalo.",IF(B17/B10&gt;1.5,"⚠️ Te deja ganancia, pero necesitás vender "&amp;TEXT(B17/B10-1,"0%")&amp;" más para ganar lo mismo. Pensalo bien.","✅ Te deja ganancia. Necesitás vender "&amp;TEXT(B17/B10-1,"0%")&amp;" más que hoy para ganar lo mismo."))</f>
        <v/>
      </c>
    </row>
  </sheetData>
  <mergeCells count="2">
    <mergeCell ref="A21:C2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44" customWidth="1" min="3" max="3"/>
  </cols>
  <sheetData>
    <row r="1">
      <c r="A1" s="6" t="inlineStr">
        <is>
          <t>Promo 'llevá X, pagá Y' (2x1, 3x2)</t>
        </is>
      </c>
    </row>
    <row r="2" ht="44" customHeight="1">
      <c r="A2" s="7" t="inlineStr">
        <is>
          <t>Compara un pedido con la promo contra un pedido normal de 1 unidad.</t>
        </is>
      </c>
    </row>
    <row r="4" ht="22" customHeight="1">
      <c r="A4" s="8" t="inlineStr">
        <is>
          <t>TUS NÚMEROS</t>
        </is>
      </c>
      <c r="B4" s="9" t="n"/>
      <c r="C4" s="9" t="n"/>
    </row>
    <row r="5" ht="30" customHeight="1">
      <c r="A5" s="10" t="inlineStr">
        <is>
          <t>Precio de 1 unidad</t>
        </is>
      </c>
      <c r="B5" s="11" t="n">
        <v>8900</v>
      </c>
    </row>
    <row r="6" ht="30" customHeight="1">
      <c r="A6" s="10" t="inlineStr">
        <is>
          <t>Costo de 1 unidad</t>
        </is>
      </c>
      <c r="B6" s="11" t="n">
        <v>2500</v>
      </c>
    </row>
    <row r="7" ht="30" customHeight="1">
      <c r="A7" s="10" t="inlineStr">
        <is>
          <t>Otros gastos por pedido</t>
        </is>
      </c>
      <c r="B7" s="11" t="n">
        <v>600</v>
      </c>
      <c r="C7" s="12" t="inlineStr">
        <is>
          <t>Packaging, envío si lo pagás vos.</t>
        </is>
      </c>
    </row>
    <row r="8" ht="30" customHeight="1">
      <c r="A8" s="10" t="inlineStr">
        <is>
          <t>Comisión de tu medio de cobro</t>
        </is>
      </c>
      <c r="B8" s="13" t="n">
        <v>0.0761</v>
      </c>
    </row>
    <row r="9" ht="30" customHeight="1">
      <c r="A9" s="10" t="inlineStr">
        <is>
          <t>Unidades que se lleva</t>
        </is>
      </c>
      <c r="B9" s="14" t="n">
        <v>2</v>
      </c>
      <c r="C9" s="12" t="inlineStr">
        <is>
          <t>2 en un 2x1, 3 en un 3x2.</t>
        </is>
      </c>
    </row>
    <row r="10" ht="30" customHeight="1">
      <c r="A10" s="10" t="inlineStr">
        <is>
          <t>Unidades que paga</t>
        </is>
      </c>
      <c r="B10" s="14" t="n">
        <v>1</v>
      </c>
      <c r="C10" s="12" t="inlineStr">
        <is>
          <t>1 en un 2x1, 2 en un 3x2.</t>
        </is>
      </c>
    </row>
    <row r="11" ht="30" customHeight="1">
      <c r="A11" s="10" t="inlineStr">
        <is>
          <t>Pedidos que hacés hoy en un período</t>
        </is>
      </c>
      <c r="B11" s="14" t="n">
        <v>20</v>
      </c>
    </row>
    <row r="13" ht="22" customHeight="1">
      <c r="A13" s="8" t="inlineStr">
        <is>
          <t>RESULTADOS</t>
        </is>
      </c>
      <c r="B13" s="9" t="n"/>
      <c r="C13" s="9" t="n"/>
    </row>
    <row r="14" ht="30" customHeight="1">
      <c r="A14" s="10" t="inlineStr">
        <is>
          <t>Lo que cobrás por un pedido con promo</t>
        </is>
      </c>
      <c r="B14" s="15">
        <f>B5*B10</f>
        <v/>
      </c>
    </row>
    <row r="15" ht="30" customHeight="1">
      <c r="A15" s="10" t="inlineStr">
        <is>
          <t>Ganancia de un pedido normal (1 unidad)</t>
        </is>
      </c>
      <c r="B15" s="15">
        <f>B5*(1-B8)-B6-B7</f>
        <v/>
      </c>
    </row>
    <row r="16" ht="30" customHeight="1">
      <c r="A16" s="16" t="inlineStr">
        <is>
          <t>Ganancia de un pedido con promo</t>
        </is>
      </c>
      <c r="B16" s="17">
        <f>B14*(1-B8)-B6*B9-B7</f>
        <v/>
      </c>
    </row>
    <row r="17" ht="30" customHeight="1">
      <c r="A17" s="10" t="inlineStr">
        <is>
          <t>Es como hacer un descuento de</t>
        </is>
      </c>
      <c r="B17" s="19">
        <f>1-B10/B9</f>
        <v/>
      </c>
      <c r="C17" s="12" t="inlineStr">
        <is>
          <t>Un 2x1 equivale a 50 % de descuento. Un 3x2, a 33 %.</t>
        </is>
      </c>
    </row>
    <row r="18" ht="30" customHeight="1">
      <c r="A18" s="16" t="inlineStr">
        <is>
          <t>Pedidos con promo para ganar lo mismo que hoy</t>
        </is>
      </c>
      <c r="B18" s="18">
        <f>IF(B16&lt;=0,"No se puede: perdés plata",ROUNDUP(B11*B15/B16,0))</f>
        <v/>
      </c>
    </row>
    <row r="20" ht="22" customHeight="1">
      <c r="A20" s="8" t="inlineStr">
        <is>
          <t>VEREDICTO</t>
        </is>
      </c>
      <c r="B20" s="9" t="n"/>
      <c r="C20" s="9" t="n"/>
    </row>
    <row r="21" ht="40" customHeight="1">
      <c r="A21" s="20">
        <f>IF(B16&lt;=0,"❌ Con esta promo PERDÉS plata en cada pedido.",IF(B16&lt;B15,"⚠️ Ganás menos por pedido: necesitás "&amp;B18&amp;" pedidos con promo para igualar "&amp;B11&amp;" normales.","✅ Ganás igual o más por pedido que vendiendo 1 unidad."))</f>
        <v/>
      </c>
    </row>
  </sheetData>
  <mergeCells count="2">
    <mergeCell ref="A21:C2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44" customWidth="1" min="3" max="3"/>
  </cols>
  <sheetData>
    <row r="1">
      <c r="A1" s="6" t="inlineStr">
        <is>
          <t>Envío gratis desde un monto</t>
        </is>
      </c>
    </row>
    <row r="2" ht="44" customHeight="1">
      <c r="A2" s="7" t="inlineStr">
        <is>
          <t>Calcula lo que te queda en un pedido justo en el mínimo, si el envío lo pagás vos.</t>
        </is>
      </c>
    </row>
    <row r="4" ht="22" customHeight="1">
      <c r="A4" s="8" t="inlineStr">
        <is>
          <t>TUS NÚMEROS</t>
        </is>
      </c>
      <c r="B4" s="9" t="n"/>
      <c r="C4" s="9" t="n"/>
    </row>
    <row r="5" ht="30" customHeight="1">
      <c r="A5" s="10" t="inlineStr">
        <is>
          <t>Monto mínimo para envío gratis</t>
        </is>
      </c>
      <c r="B5" s="11" t="n">
        <v>40000</v>
      </c>
      <c r="C5" s="12" t="inlineStr">
        <is>
          <t>Ej.: 'envío gratis desde $40.000'.</t>
        </is>
      </c>
    </row>
    <row r="6" ht="30" customHeight="1">
      <c r="A6" s="10" t="inlineStr">
        <is>
          <t>Costo de los productos de ese pedido</t>
        </is>
      </c>
      <c r="B6" s="11" t="n">
        <v>13000</v>
      </c>
      <c r="C6" s="12" t="inlineStr">
        <is>
          <t>Sumá el costo de lo que entra en un pedido típico de ese monto.</t>
        </is>
      </c>
    </row>
    <row r="7" ht="30" customHeight="1">
      <c r="A7" s="10" t="inlineStr">
        <is>
          <t>Otros gastos del pedido</t>
        </is>
      </c>
      <c r="B7" s="11" t="n">
        <v>1200</v>
      </c>
      <c r="C7" s="12" t="inlineStr">
        <is>
          <t>Packaging.</t>
        </is>
      </c>
    </row>
    <row r="8" ht="30" customHeight="1">
      <c r="A8" s="10" t="inlineStr">
        <is>
          <t>Comisión de tu medio de cobro</t>
        </is>
      </c>
      <c r="B8" s="13" t="n">
        <v>0.0761</v>
      </c>
    </row>
    <row r="9" ht="30" customHeight="1">
      <c r="A9" s="10" t="inlineStr">
        <is>
          <t>Costo del envío que pagás vos</t>
        </is>
      </c>
      <c r="B9" s="11" t="n">
        <v>7500</v>
      </c>
      <c r="C9" s="12" t="inlineStr">
        <is>
          <t>Promedio de lo que te cobra el correo.</t>
        </is>
      </c>
    </row>
    <row r="11" ht="22" customHeight="1">
      <c r="A11" s="8" t="inlineStr">
        <is>
          <t>RESULTADOS</t>
        </is>
      </c>
      <c r="B11" s="9" t="n"/>
      <c r="C11" s="9" t="n"/>
    </row>
    <row r="12" ht="30" customHeight="1">
      <c r="A12" s="16" t="inlineStr">
        <is>
          <t>Ganancia del pedido con envío gratis</t>
        </is>
      </c>
      <c r="B12" s="17">
        <f>B5*(1-B8)-B6-B7-B9</f>
        <v/>
      </c>
    </row>
    <row r="13" ht="30" customHeight="1">
      <c r="A13" s="10" t="inlineStr">
        <is>
          <t>Margen sobre lo cobrado</t>
        </is>
      </c>
      <c r="B13" s="19">
        <f>B12/B5</f>
        <v/>
      </c>
    </row>
    <row r="14" ht="30" customHeight="1">
      <c r="A14" s="10" t="inlineStr">
        <is>
          <t>Ganancia del mismo pedido si el envío lo paga el cliente</t>
        </is>
      </c>
      <c r="B14" s="15">
        <f>B5*(1-B8)-B6-B7</f>
        <v/>
      </c>
    </row>
    <row r="16" ht="22" customHeight="1">
      <c r="A16" s="8" t="inlineStr">
        <is>
          <t>VEREDICTO</t>
        </is>
      </c>
      <c r="B16" s="9" t="n"/>
      <c r="C16" s="9" t="n"/>
    </row>
    <row r="17" ht="40" customHeight="1">
      <c r="A17" s="20">
        <f>IF(B12&lt;=0,"❌ En un pedido del monto mínimo PERDÉS plata. Subí el mínimo.",IF(B13&lt;0.15,"⚠️ Te queda poco margen ("&amp;TEXT(B13,"0%")&amp;"). Considerá subir el mínimo.","✅ Te queda "&amp;TEXT(B13,"0%")&amp;" de margen en un pedido justo en el mínimo."))</f>
        <v/>
      </c>
    </row>
  </sheetData>
  <mergeCells count="2">
    <mergeCell ref="A17:C17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2026-10-13T01:24:52Z</dcterms:created>
  <dcterms:modified xmlns:dcterms="http://purl.org/dc/terms/" xmlns:xsi="http://www.w3.org/2001/XMLSchema-instance" xsi:type="dcterms:W3CDTF">2026-10-13T01:24:52Z</dcterms:modified>
</cp:coreProperties>
</file>